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4E26483-65B1-4D52-8169-1FE5375FB4C6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PA!$B$12:$K$61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<sst xmlns="http://schemas.openxmlformats.org/spreadsheetml/2006/main" count="500" uniqueCount="210">
  <si>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</si>
  <si>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</si>
  <si>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</si>
  <si>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</si>
  <si>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</si>
  <si>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</si>
  <si>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</si>
  <si>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</si>
  <si>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</si>
  <si>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</si>
  <si>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</si>
  <si>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</si>
  <si>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</si>
  <si>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</si>
  <si>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</si>
  <si>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</si>
  <si>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</si>
  <si>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</si>
  <si>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</si>
  <si>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</si>
  <si>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</si>
  <si>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</si>
  <si>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</si>
  <si>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</si>
  <si>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</si>
  <si>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</si>
  <si>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</si>
  <si>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</si>
  <si>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</si>
  <si>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</si>
  <si>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</si>
  <si>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</si>
  <si>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</si>
  <si>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</si>
  <si>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</si>
  <si>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</si>
  <si>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</si>
  <si>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</si>
  <si>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</si>
  <si>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</si>
  <si>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</si>
  <si>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</si>
  <si>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</si>
  <si>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</si>
  <si>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</si>
  <si>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</si>
  <si>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</si>
  <si>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</si>
  <si>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</si>
  <si>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</si>
  <si>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</si>
  <si>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</si>
  <si>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</si>
  <si>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</si>
  <si>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</si>
  <si>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</si>
  <si>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</si>
  <si>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</si>
  <si>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</si>
  <si>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</si>
  <si>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</si>
  <si>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</si>
  <si>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</si>
  <si>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</si>
  <si>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</si>
  <si>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</si>
  <si>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</si>
  <si>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</si>
  <si>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</si>
  <si>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</si>
  <si>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</si>
  <si>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</si>
  <si>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</si>
  <si>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</si>
  <si>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</si>
  <si>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</si>
  <si>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</si>
  <si>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</si>
  <si>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</si>
  <si>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</si>
  <si>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</si>
  <si>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</si>
  <si>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</si>
  <si>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</si>
  <si>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</si>
  <si>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</si>
  <si>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</si>
  <si>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</si>
  <si>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</si>
  <si>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</si>
  <si>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</si>
  <si>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</si>
  <si>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30/11/2025</t>
  </si>
  <si>
    <t>31/12/2025</t>
  </si>
  <si>
    <t>31/01/2026</t>
  </si>
  <si>
    <t>10/12/2025</t>
  </si>
  <si>
    <t>20/02/2025</t>
  </si>
  <si>
    <t>Ação esta em transito junto a engenharia e TI</t>
  </si>
  <si>
    <t>Engenharia de Produto</t>
  </si>
  <si>
    <t>Manutenção</t>
  </si>
  <si>
    <t>Industrial</t>
  </si>
  <si>
    <t>Engenharia de Processos</t>
  </si>
  <si>
    <t>30/01/2025</t>
  </si>
  <si>
    <t>Alta demanda</t>
  </si>
  <si>
    <t>30/12/2025</t>
  </si>
  <si>
    <t>30/05/2026</t>
  </si>
  <si>
    <t>30/03/2026</t>
  </si>
  <si>
    <t>30/01/2026</t>
  </si>
  <si>
    <t>20/02/2026</t>
  </si>
  <si>
    <t>15/04/2026</t>
  </si>
  <si>
    <t>Alterar a posição das prensas/Laser/Maquinas</t>
  </si>
  <si>
    <t>Fornos obstruindo corredores</t>
  </si>
  <si>
    <t xml:space="preserve">Falta de espaço fisico para armagenazem </t>
  </si>
  <si>
    <t>Confeccionar pallets para verticalização do estoque.</t>
  </si>
  <si>
    <t>Expedição</t>
  </si>
  <si>
    <t>Falta de endereçamento</t>
  </si>
  <si>
    <t>Definir e endereçar cada rua por linha e coluna.</t>
  </si>
  <si>
    <t>30/04/2026</t>
  </si>
  <si>
    <t>Linha de montagem não atende padrão industrial</t>
  </si>
  <si>
    <t>Implantação linha de montagem com sistema de esteira tracionada linha de fornos de bancada.</t>
  </si>
  <si>
    <t>Revisão e Instalação parafusadeira Automática</t>
  </si>
  <si>
    <t>Substituir parafusadeiras a bateria por pneumática</t>
  </si>
  <si>
    <t>10/02/2026</t>
  </si>
  <si>
    <t>Instalação de Balancim em toda linha principal</t>
  </si>
  <si>
    <t xml:space="preserve">Confecção de bancadas sistema de pré montagem </t>
  </si>
  <si>
    <t>Alteração de layout/máquinas e dispositivos para construir um fluxo linear de operações.</t>
  </si>
  <si>
    <t>Implantação linha de montagem com sistema de esteira tracionada linha de fornos de embutir</t>
  </si>
  <si>
    <t>12/03/2026</t>
  </si>
  <si>
    <t xml:space="preserve">Slitter com baixa taxa de Performance </t>
  </si>
  <si>
    <t>Máquina com problemas operacionais devido a falta de manutenção e cuidados ap longo do periodo de operação.</t>
  </si>
  <si>
    <t>Trazer o técnico da Esquadros para fazer as manutenções pendentes e trinamento operacional.</t>
  </si>
  <si>
    <t>20/01/2026</t>
  </si>
  <si>
    <t>Falta de conferencia de dimensionais</t>
  </si>
  <si>
    <t>Criar estação de conferencia com equipamentos e bancada com pedra/quadro sombra</t>
  </si>
  <si>
    <t>Baixa taxa de Disponibilidade máquinas e dispositivos</t>
  </si>
  <si>
    <t>Falta de manutenções preventivas</t>
  </si>
  <si>
    <t>Executar plano de Manutenção Preventiva</t>
  </si>
  <si>
    <t>Criar plano de Manutenção Preventiva</t>
  </si>
  <si>
    <t>Piso expedição não atende as condições de manuseio e transporte de Pallets</t>
  </si>
  <si>
    <t>Pedra utilizada não é compátivel para o tipo de operação desempenhada</t>
  </si>
  <si>
    <t>Reforma do piso com polimento</t>
  </si>
  <si>
    <t>Indice elevado de peças para retrabalho setor de Estamparia</t>
  </si>
  <si>
    <t>Refile das laterais não tem desenrolador</t>
  </si>
  <si>
    <t>Baixa taxa de acuracidade itens comprados</t>
  </si>
  <si>
    <t>Setor de almoxarifado com materiais espalhados por toda fábrica</t>
  </si>
  <si>
    <t>Almoxarifado</t>
  </si>
  <si>
    <t>Pintura/Esm.</t>
  </si>
  <si>
    <t>Alto indice de Sucata e Retrabalho devido a estética da camada aplicada</t>
  </si>
  <si>
    <t>Falta implementação de inventário cíclico</t>
  </si>
  <si>
    <t>30/12/2026</t>
  </si>
  <si>
    <t>Confecionar desenrolador para segregação dos refiles laterais</t>
  </si>
  <si>
    <t>Implementação de inventário cíclico</t>
  </si>
  <si>
    <t>Eliminar supermercado, verticalizar estoque de almoxarifado, alterar layout de porta paletes</t>
  </si>
  <si>
    <t>Materiais molhados/sujos - área com ocupação irregular</t>
  </si>
  <si>
    <t>Parte lateral do almoxarifado não tem vidros</t>
  </si>
  <si>
    <t>Colocar vidros nas janelas do almoxarifado</t>
  </si>
  <si>
    <t>Confeccionar contentores/bancadas que atendam a dinamica da operação, reduzindo tempo e movimentos que não agregam valor a operação.</t>
  </si>
  <si>
    <t xml:space="preserve">Atualizar Cronoánalise </t>
  </si>
  <si>
    <t>Desabastecimento consumiveis</t>
  </si>
  <si>
    <t>Nas existe um estoque minimo em cada setor</t>
  </si>
  <si>
    <t>Confecionar armarios possibilitando que cada gestor controle os consumiveis utilizados na operação com estoque regulador minimo e máximo</t>
  </si>
  <si>
    <t>20/03/2026</t>
  </si>
  <si>
    <t>Alto indice de retrabalho e sucata setor de esmaltação e pintura.</t>
  </si>
  <si>
    <t>Iluminação e equipamnetos não conformes</t>
  </si>
  <si>
    <t>Ajustar iluminação da carga/descarga - Revisar cascatas/pistolas</t>
  </si>
  <si>
    <t>Prensas trabalhando em desacordo com a norma</t>
  </si>
  <si>
    <t>Falta de acompanhamento e atualizações</t>
  </si>
  <si>
    <t>Adequar prensas conforme NR12</t>
  </si>
  <si>
    <t>30/06/2026</t>
  </si>
  <si>
    <t>Falta de compartilhamento das informações - engajamento e dissiminação dos resultados cultura da empresa - valores</t>
  </si>
  <si>
    <t>Não era o esopo estudado anteriormente</t>
  </si>
  <si>
    <t>Criar espaço adequado para reuniões (GD) instalar TV e caixa criar área para compartilhamento das informações - engajamento e dissiminação dos resultados cultura da empresa - valores</t>
  </si>
  <si>
    <t>10/04/2026</t>
  </si>
  <si>
    <t xml:space="preserve">Área externa cheia de buracos </t>
  </si>
  <si>
    <t>Degradação do piso externo</t>
  </si>
  <si>
    <t xml:space="preserve">Reformar piso externo, criar área de escape </t>
  </si>
  <si>
    <t>Sistema de esmaltação não permite esmaltar dos dois lados.</t>
  </si>
  <si>
    <t>Cascatas e painel com itens a serem substituidos</t>
  </si>
  <si>
    <t>Revisar cascatas/ painel possibilitando utilzar o módulo 2 e esmaltar peças dos dois lados.</t>
  </si>
  <si>
    <t>Alimentador GTX 3/1 não trabalha em módo automático</t>
  </si>
  <si>
    <t xml:space="preserve">Comunicação do CLP / Sistema de emergencia </t>
  </si>
  <si>
    <t>Ajustar comunicação/alimentação e liberar a prensa para trabalhar em módo progressivo.</t>
  </si>
  <si>
    <t>05/03/2026</t>
  </si>
  <si>
    <t>Perda produtiva no rebobinamento de tiras de refile lateral</t>
  </si>
  <si>
    <t>Pentes com espessuara imcompativel</t>
  </si>
  <si>
    <t>Retificar pentes do rebobinador Slitter</t>
  </si>
  <si>
    <t>Climatização da fábica incompativel com operação</t>
  </si>
  <si>
    <t>Sistema não possui troca de calor</t>
  </si>
  <si>
    <t>Telhas iradiam calor para a fábrica</t>
  </si>
  <si>
    <t xml:space="preserve">Acoplar exaustores com sistema de chapéu na cumeeira do telhado permitindo a troca de calor </t>
  </si>
  <si>
    <t>Pintar as telhas translúcidas que ficam acima da operação, impedindo que as mesmas projetem calor para a fábrica e raios UV diretamente nos colaboradores .</t>
  </si>
  <si>
    <t>Aceeso livre para a fábrica</t>
  </si>
  <si>
    <t>Portão principal travado</t>
  </si>
  <si>
    <t>Retirar portão principal, ajustar sistema de rolamentos, motorizar o acesso, adicionar interfone para autorizar o acesso a fábrica.</t>
  </si>
  <si>
    <t>Descarga de corrente na operação de Hypot</t>
  </si>
  <si>
    <t>Não possui isolamento</t>
  </si>
  <si>
    <t>Comprar tapetes que intercepetem a corrente elétrica, adaptar posto</t>
  </si>
  <si>
    <t>Alto indice de devolução de produtos</t>
  </si>
  <si>
    <t>Falta de inspeção por amostragem</t>
  </si>
  <si>
    <t>Confeccionar LAP (Laboratório de análise de produtos) criar sistematica de isnpeção de produtos acabados por amostragem</t>
  </si>
  <si>
    <t>Indice elevado de componentes inconformes</t>
  </si>
  <si>
    <t>Não possui inspeção no recebimento</t>
  </si>
  <si>
    <t>Desenvolver célula de recebimento, gerar sistêmática de recebimento com conferência assidua por itens/fornecedores.</t>
  </si>
  <si>
    <t>Perda produtiva recorrente na linha de montagem</t>
  </si>
  <si>
    <t>Linha precisa parar o processo de Montagem para retrabalhar os fornos de devolução.</t>
  </si>
  <si>
    <t>Desenvolver ARP (área de recuperação de produtos) comportando todo o processo sistêmico e fisico.</t>
  </si>
  <si>
    <t xml:space="preserve">Perda produtiva X retrabalhos </t>
  </si>
  <si>
    <t>Atividades desenvolvidas com baixa taxa de qualidade e Performance</t>
  </si>
  <si>
    <t>Desenvolver matriz de Polivalência X Policompetências</t>
  </si>
  <si>
    <t>15/4/2026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</si>
</sst>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2" fillId="2" borderId="0" xfId="0" applyNumberFormat="1" applyFont="1" applyFill="1" applyAlignment="1" applyProtection="1">
      <alignment horizontal="left" vertical="center"/>
      <protection locked="0"/>
    </xf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9" fillId="0" borderId="0" xfId="0" applyNumberFormat="1" applyFont="1" applyAlignment="1">
      <alignment horizontal="left"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2" fillId="7" borderId="17" xfId="0" applyFont="1" applyFill="1" applyBorder="1" applyAlignment="1">
      <alignment horizontal="center" vertical="center" wrapText="1"/>
    </xf>
    <xf numFmtId="14" fontId="2" fillId="7" borderId="17" xfId="0" applyNumberFormat="1" applyFont="1" applyFill="1" applyBorder="1" applyAlignment="1">
      <alignment horizontal="center" vertical="center" wrapText="1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0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8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right" vertical="center"/>
    </xf>
    <xf numFmtId="0" fontId="2" fillId="11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vertical="center" wrapText="1"/>
      <protection locked="0"/>
    </xf>
    <xf numFmtId="49" fontId="0" fillId="0" borderId="24" xfId="0" applyNumberFormat="1" applyBorder="1" applyAlignment="1" applyProtection="1">
      <alignment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0" fontId="8" fillId="2" borderId="6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PA!$F$3:$F$8</c:f>
            </c:strRef>
          </c:cat>
          <c:val>
            <c:numRef>
              <c:f>PA!$G$3:$G$8</c:f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1"/>
  <sheetViews>
    <sheetView showGridLines="0" tabSelected="1" view="pageBreakPreview" zoomScale="70" zoomScaleNormal="70" zoomScaleSheetLayoutView="70" workbookViewId="0">
      <pane xSplit="3" ySplit="12" topLeftCell="D58" activePane="bottomRight" state="frozen"/>
      <selection pane="topRight" activeCell="E1" sqref="E1"/>
      <selection pane="bottomLeft" activeCell="A20" sqref="A20"/>
      <selection pane="bottomRight" activeCell="J77" sqref="J77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3.21875" style="31" bestFit="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56" t="s">
        <v>5</v>
      </c>
      <c r="E1" s="56"/>
      <c r="F1" s="56"/>
      <c r="G1" s="56"/>
      <c r="H1" s="56"/>
      <c r="I1" s="56"/>
      <c r="J1" s="57"/>
      <c r="K1" s="33"/>
    </row>
    <row r="2" spans="2:11" ht="18" hidden="1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0.18461538461538463</v>
      </c>
      <c r="K2" s="10"/>
    </row>
    <row r="3" spans="2:11" ht="29.1" hidden="1" customHeight="1" outlineLevel="1" x14ac:dyDescent="0.25">
      <c r="B3" s="59"/>
      <c r="C3" s="60"/>
      <c r="D3" s="19"/>
      <c r="E3" s="3"/>
      <c r="F3" s="5" t="s">
        <v>2</v>
      </c>
      <c r="G3" s="40">
        <f>COUNTIF(J13:J459,"Executado (Executed)")</f>
        <v>12</v>
      </c>
      <c r="H3" s="47"/>
      <c r="I3" s="47"/>
      <c r="J3" s="11">
        <f t="shared" si="0"/>
        <v>0.30769230769230771</v>
      </c>
      <c r="K3" s="10"/>
    </row>
    <row r="4" spans="2:11" ht="43.5" hidden="1" customHeight="1" outlineLevel="1" x14ac:dyDescent="0.25">
      <c r="B4" s="59"/>
      <c r="C4" s="60"/>
      <c r="D4" s="19"/>
      <c r="E4" s="3"/>
      <c r="F4" s="8" t="s">
        <v>1</v>
      </c>
      <c r="G4" s="41">
        <f>COUNTIF(J13:J460,"Em execução (Running)")</f>
        <v>20</v>
      </c>
      <c r="H4" s="47"/>
      <c r="I4" s="47"/>
      <c r="J4" s="11">
        <f t="shared" si="0"/>
        <v>0.24615384615384617</v>
      </c>
      <c r="K4" s="10"/>
    </row>
    <row r="5" spans="2:11" ht="29.1" hidden="1" customHeight="1" outlineLevel="1" x14ac:dyDescent="0.25">
      <c r="B5" s="20"/>
      <c r="C5" s="19"/>
      <c r="D5" s="19"/>
      <c r="E5" s="3"/>
      <c r="F5" s="6" t="s">
        <v>4</v>
      </c>
      <c r="G5" s="42">
        <f>COUNTIF(J13:J461,"Atrasada (Delay)")</f>
        <v>16</v>
      </c>
      <c r="H5" s="47"/>
      <c r="I5" s="47"/>
      <c r="J5" s="11">
        <f t="shared" si="0"/>
        <v>0.2</v>
      </c>
      <c r="K5" s="10"/>
    </row>
    <row r="6" spans="2:11" ht="29.1" hidden="1" customHeight="1" outlineLevel="1" x14ac:dyDescent="0.25">
      <c r="B6" s="20"/>
      <c r="C6" s="19"/>
      <c r="D6" s="19"/>
      <c r="E6" s="3"/>
      <c r="F6" s="7" t="s">
        <v>0</v>
      </c>
      <c r="G6" s="43">
        <f>COUNTIF(J13:J462,"Aberta (Open)")</f>
        <v>13</v>
      </c>
      <c r="H6" s="47"/>
      <c r="I6" s="47"/>
      <c r="J6" s="11" t="str">
        <f t="shared" si="0"/>
        <v/>
      </c>
      <c r="K6" s="10"/>
    </row>
    <row r="7" spans="2:11" ht="29.1" hidden="1" customHeight="1" outlineLevel="1" x14ac:dyDescent="0.25">
      <c r="B7" s="61" t="s">
        <v>6</v>
      </c>
      <c r="C7" s="62" t="s">
        <v>92</v>
      </c>
      <c r="D7" s="19"/>
      <c r="E7" s="3"/>
      <c r="F7" s="12" t="s">
        <v>17</v>
      </c>
      <c r="G7" s="44">
        <f>COUNTIF(J13:J462,"Cancelada (Canceled)")</f>
        <v>0</v>
      </c>
      <c r="H7" s="47"/>
      <c r="I7" s="47"/>
      <c r="J7" s="11">
        <f t="shared" si="0"/>
        <v>6.1538461538461542E-2</v>
      </c>
      <c r="K7" s="10"/>
    </row>
    <row r="8" spans="2:11" ht="29.1" hidden="1" customHeight="1" outlineLevel="1" x14ac:dyDescent="0.25">
      <c r="B8" s="61"/>
      <c r="C8" s="62"/>
      <c r="D8" s="19"/>
      <c r="E8" s="3"/>
      <c r="F8" s="13" t="s">
        <v>18</v>
      </c>
      <c r="G8" s="45">
        <f>COUNTIF(J13:J462,"Em espera (Stand by)")</f>
        <v>4</v>
      </c>
      <c r="H8" s="47"/>
      <c r="I8" s="47"/>
      <c r="J8" s="21"/>
      <c r="K8" s="10"/>
    </row>
    <row r="9" spans="2:11" ht="29.1" hidden="1" customHeight="1" outlineLevel="1" x14ac:dyDescent="0.25">
      <c r="B9" s="34" t="s">
        <v>19</v>
      </c>
      <c r="C9" s="36" t="s">
        <v>127</v>
      </c>
      <c r="D9" s="19"/>
      <c r="E9" s="3"/>
      <c r="F9" s="9" t="s">
        <v>13</v>
      </c>
      <c r="G9" s="23">
        <f>SUM(G3:G8)</f>
        <v>65</v>
      </c>
      <c r="H9" s="46"/>
      <c r="I9" s="22"/>
      <c r="J9" s="3"/>
      <c r="K9" s="10"/>
    </row>
    <row r="10" spans="2:11" ht="18" hidden="1" customHeight="1" outlineLevel="1" x14ac:dyDescent="0.25">
      <c r="B10" s="35" t="s">
        <v>15</v>
      </c>
      <c r="C10" s="37" t="s">
        <v>90</v>
      </c>
      <c r="D10" s="19"/>
      <c r="E10" s="3"/>
      <c r="F10" s="3"/>
      <c r="G10" s="3"/>
      <c r="H10" s="3"/>
      <c r="I10" s="3"/>
      <c r="J10" s="3"/>
      <c r="K10" s="10"/>
    </row>
    <row r="11" spans="2:11" ht="32.25" hidden="1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collapsed="1" x14ac:dyDescent="0.25">
      <c r="B12" s="58" t="s">
        <v>16</v>
      </c>
      <c r="C12" s="58"/>
      <c r="D12" s="25" t="s">
        <v>8</v>
      </c>
      <c r="E12" s="25" t="s">
        <v>9</v>
      </c>
      <c r="F12" s="25" t="s">
        <v>23</v>
      </c>
      <c r="G12" s="25" t="s">
        <v>47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51" t="s">
        <v>21</v>
      </c>
      <c r="C13" s="51"/>
      <c r="D13" s="28" t="s">
        <v>22</v>
      </c>
      <c r="E13" s="28" t="s">
        <v>110</v>
      </c>
      <c r="F13" s="28" t="s">
        <v>24</v>
      </c>
      <c r="G13" s="28" t="s">
        <v>48</v>
      </c>
      <c r="H13" s="24" t="s">
        <v>99</v>
      </c>
      <c r="I13" s="24" t="s">
        <v>92</v>
      </c>
      <c r="J13" s="29" t="s">
        <v>1</v>
      </c>
      <c r="K13" s="38"/>
    </row>
    <row r="14" spans="2:11" ht="24.75" customHeight="1" x14ac:dyDescent="0.25">
      <c r="B14" s="51" t="s">
        <v>25</v>
      </c>
      <c r="C14" s="51"/>
      <c r="D14" s="28" t="s">
        <v>27</v>
      </c>
      <c r="E14" s="28" t="s">
        <v>26</v>
      </c>
      <c r="F14" s="28" t="s">
        <v>28</v>
      </c>
      <c r="G14" s="28" t="s">
        <v>48</v>
      </c>
      <c r="H14" s="24" t="s">
        <v>100</v>
      </c>
      <c r="I14" s="24"/>
      <c r="J14" s="29" t="s">
        <v>0</v>
      </c>
      <c r="K14" s="28"/>
    </row>
    <row r="15" spans="2:11" ht="39" customHeight="1" x14ac:dyDescent="0.25">
      <c r="B15" s="52" t="s">
        <v>29</v>
      </c>
      <c r="C15" s="53"/>
      <c r="D15" s="63" t="s">
        <v>30</v>
      </c>
      <c r="E15" s="28" t="s">
        <v>31</v>
      </c>
      <c r="F15" s="28" t="s">
        <v>32</v>
      </c>
      <c r="G15" s="28" t="s">
        <v>48</v>
      </c>
      <c r="H15" s="24" t="s">
        <v>98</v>
      </c>
      <c r="I15" s="24" t="s">
        <v>96</v>
      </c>
      <c r="J15" s="29" t="s">
        <v>4</v>
      </c>
      <c r="K15" s="49" t="s">
        <v>97</v>
      </c>
    </row>
    <row r="16" spans="2:11" ht="24.75" customHeight="1" x14ac:dyDescent="0.25">
      <c r="B16" s="65"/>
      <c r="C16" s="66"/>
      <c r="D16" s="67"/>
      <c r="E16" s="28" t="s">
        <v>33</v>
      </c>
      <c r="F16" s="28" t="s">
        <v>32</v>
      </c>
      <c r="G16" s="28" t="s">
        <v>48</v>
      </c>
      <c r="H16" s="24" t="s">
        <v>32</v>
      </c>
      <c r="I16" s="24"/>
      <c r="J16" s="29" t="s">
        <v>18</v>
      </c>
      <c r="K16" s="50"/>
    </row>
    <row r="17" spans="2:11" ht="24.75" customHeight="1" x14ac:dyDescent="0.25">
      <c r="B17" s="65"/>
      <c r="C17" s="66"/>
      <c r="D17" s="64"/>
      <c r="E17" s="28" t="s">
        <v>34</v>
      </c>
      <c r="F17" s="28" t="s">
        <v>32</v>
      </c>
      <c r="G17" s="28" t="s">
        <v>48</v>
      </c>
      <c r="H17" s="24" t="s">
        <v>101</v>
      </c>
      <c r="I17" s="24" t="s">
        <v>102</v>
      </c>
      <c r="J17" s="29" t="s">
        <v>4</v>
      </c>
      <c r="K17" s="28"/>
    </row>
    <row r="18" spans="2:11" ht="42.6" customHeight="1" x14ac:dyDescent="0.25">
      <c r="B18" s="54"/>
      <c r="C18" s="55"/>
      <c r="D18" s="48" t="s">
        <v>64</v>
      </c>
      <c r="E18" s="28" t="s">
        <v>156</v>
      </c>
      <c r="F18" s="28" t="s">
        <v>32</v>
      </c>
      <c r="G18" s="28" t="s">
        <v>48</v>
      </c>
      <c r="H18" s="24" t="s">
        <v>99</v>
      </c>
      <c r="I18" s="24" t="s">
        <v>108</v>
      </c>
      <c r="J18" s="29" t="s">
        <v>4</v>
      </c>
      <c r="K18" s="28" t="s">
        <v>103</v>
      </c>
    </row>
    <row r="19" spans="2:11" ht="82.8" x14ac:dyDescent="0.25">
      <c r="B19" s="52" t="s">
        <v>35</v>
      </c>
      <c r="C19" s="53"/>
      <c r="D19" s="28" t="s">
        <v>36</v>
      </c>
      <c r="E19" s="38" t="s">
        <v>37</v>
      </c>
      <c r="F19" s="28" t="s">
        <v>28</v>
      </c>
      <c r="G19" s="28" t="s">
        <v>48</v>
      </c>
      <c r="H19" s="24" t="s">
        <v>99</v>
      </c>
      <c r="I19" s="24" t="s">
        <v>102</v>
      </c>
      <c r="J19" s="29" t="s">
        <v>4</v>
      </c>
      <c r="K19" s="28"/>
    </row>
    <row r="20" spans="2:11" ht="24" customHeight="1" x14ac:dyDescent="0.25">
      <c r="B20" s="52" t="s">
        <v>39</v>
      </c>
      <c r="C20" s="53"/>
      <c r="D20" s="28" t="s">
        <v>40</v>
      </c>
      <c r="E20" s="38" t="s">
        <v>157</v>
      </c>
      <c r="F20" s="28" t="s">
        <v>24</v>
      </c>
      <c r="G20" s="28" t="s">
        <v>48</v>
      </c>
      <c r="H20" s="24" t="s">
        <v>101</v>
      </c>
      <c r="I20" s="24" t="s">
        <v>94</v>
      </c>
      <c r="J20" s="29" t="s">
        <v>4</v>
      </c>
      <c r="K20" s="28"/>
    </row>
    <row r="21" spans="2:11" ht="41.4" x14ac:dyDescent="0.25">
      <c r="B21" s="54"/>
      <c r="C21" s="55"/>
      <c r="D21" s="28" t="s">
        <v>41</v>
      </c>
      <c r="E21" s="38" t="s">
        <v>38</v>
      </c>
      <c r="F21" s="28" t="s">
        <v>24</v>
      </c>
      <c r="G21" s="28" t="s">
        <v>48</v>
      </c>
      <c r="H21" s="24" t="s">
        <v>20</v>
      </c>
      <c r="I21" s="24" t="s">
        <v>122</v>
      </c>
      <c r="J21" s="29" t="s">
        <v>2</v>
      </c>
      <c r="K21" s="28"/>
    </row>
    <row r="22" spans="2:11" ht="39.6" x14ac:dyDescent="0.25">
      <c r="B22" s="52" t="s">
        <v>39</v>
      </c>
      <c r="C22" s="53"/>
      <c r="D22" s="28" t="s">
        <v>43</v>
      </c>
      <c r="E22" s="28" t="s">
        <v>42</v>
      </c>
      <c r="F22" s="28" t="s">
        <v>24</v>
      </c>
      <c r="G22" s="28" t="s">
        <v>49</v>
      </c>
      <c r="H22" s="24" t="s">
        <v>101</v>
      </c>
      <c r="I22" s="24" t="s">
        <v>94</v>
      </c>
      <c r="J22" s="29" t="s">
        <v>4</v>
      </c>
      <c r="K22" s="28"/>
    </row>
    <row r="23" spans="2:11" ht="52.8" x14ac:dyDescent="0.25">
      <c r="B23" s="51" t="s">
        <v>45</v>
      </c>
      <c r="C23" s="51"/>
      <c r="D23" s="28" t="s">
        <v>46</v>
      </c>
      <c r="E23" s="28" t="s">
        <v>44</v>
      </c>
      <c r="F23" s="28" t="s">
        <v>91</v>
      </c>
      <c r="G23" s="28" t="s">
        <v>49</v>
      </c>
      <c r="H23" s="24" t="s">
        <v>101</v>
      </c>
      <c r="I23" s="24" t="s">
        <v>93</v>
      </c>
      <c r="J23" s="29" t="s">
        <v>4</v>
      </c>
      <c r="K23" s="28" t="s">
        <v>65</v>
      </c>
    </row>
    <row r="24" spans="2:11" ht="39.6" x14ac:dyDescent="0.25">
      <c r="B24" s="52" t="s">
        <v>39</v>
      </c>
      <c r="C24" s="53"/>
      <c r="D24" s="63" t="s">
        <v>51</v>
      </c>
      <c r="E24" s="28" t="s">
        <v>50</v>
      </c>
      <c r="F24" s="28" t="s">
        <v>24</v>
      </c>
      <c r="G24" s="28" t="s">
        <v>49</v>
      </c>
      <c r="H24" s="24" t="s">
        <v>100</v>
      </c>
      <c r="I24" s="24"/>
      <c r="J24" s="29" t="s">
        <v>0</v>
      </c>
      <c r="K24" s="28"/>
    </row>
    <row r="25" spans="2:11" ht="45" customHeight="1" x14ac:dyDescent="0.25">
      <c r="B25" s="65"/>
      <c r="C25" s="66"/>
      <c r="D25" s="64"/>
      <c r="E25" s="28" t="s">
        <v>52</v>
      </c>
      <c r="F25" s="28" t="s">
        <v>24</v>
      </c>
      <c r="G25" s="28" t="s">
        <v>49</v>
      </c>
      <c r="H25" s="24" t="s">
        <v>32</v>
      </c>
      <c r="I25" s="24"/>
      <c r="J25" s="29" t="s">
        <v>18</v>
      </c>
      <c r="K25" s="28"/>
    </row>
    <row r="26" spans="2:11" ht="66" customHeight="1" x14ac:dyDescent="0.25">
      <c r="B26" s="52" t="s">
        <v>54</v>
      </c>
      <c r="C26" s="53"/>
      <c r="D26" s="63" t="s">
        <v>55</v>
      </c>
      <c r="E26" s="28" t="s">
        <v>53</v>
      </c>
      <c r="F26" s="28" t="s">
        <v>91</v>
      </c>
      <c r="G26" s="28" t="s">
        <v>49</v>
      </c>
      <c r="H26" s="24" t="s">
        <v>100</v>
      </c>
      <c r="I26" s="24"/>
      <c r="J26" s="29" t="s">
        <v>18</v>
      </c>
      <c r="K26" s="28"/>
    </row>
    <row r="27" spans="2:11" ht="38.25" customHeight="1" x14ac:dyDescent="0.25">
      <c r="B27" s="65"/>
      <c r="C27" s="66"/>
      <c r="D27" s="67"/>
      <c r="E27" s="28" t="s">
        <v>56</v>
      </c>
      <c r="F27" s="28" t="s">
        <v>91</v>
      </c>
      <c r="G27" s="28" t="s">
        <v>49</v>
      </c>
      <c r="H27" s="24" t="s">
        <v>100</v>
      </c>
      <c r="I27" s="24"/>
      <c r="J27" s="29" t="s">
        <v>0</v>
      </c>
      <c r="K27" s="28"/>
    </row>
    <row r="28" spans="2:11" ht="53.25" customHeight="1" x14ac:dyDescent="0.25">
      <c r="B28" s="65"/>
      <c r="C28" s="66"/>
      <c r="D28" s="64"/>
      <c r="E28" s="28" t="s">
        <v>57</v>
      </c>
      <c r="F28" s="28" t="s">
        <v>91</v>
      </c>
      <c r="G28" s="28" t="s">
        <v>49</v>
      </c>
      <c r="H28" s="24" t="s">
        <v>100</v>
      </c>
      <c r="I28" s="24" t="s">
        <v>95</v>
      </c>
      <c r="J28" s="29" t="s">
        <v>2</v>
      </c>
      <c r="K28" s="28"/>
    </row>
    <row r="29" spans="2:11" ht="26.4" x14ac:dyDescent="0.25">
      <c r="B29" s="51" t="s">
        <v>59</v>
      </c>
      <c r="C29" s="51"/>
      <c r="D29" s="28" t="s">
        <v>60</v>
      </c>
      <c r="E29" s="28" t="s">
        <v>61</v>
      </c>
      <c r="F29" s="28" t="s">
        <v>91</v>
      </c>
      <c r="G29" s="28" t="s">
        <v>49</v>
      </c>
      <c r="H29" s="24" t="s">
        <v>99</v>
      </c>
      <c r="I29" s="24" t="s">
        <v>104</v>
      </c>
      <c r="J29" s="29" t="s">
        <v>4</v>
      </c>
      <c r="K29" s="28"/>
    </row>
    <row r="30" spans="2:11" ht="39.6" x14ac:dyDescent="0.25">
      <c r="B30" s="65" t="s">
        <v>147</v>
      </c>
      <c r="C30" s="66"/>
      <c r="D30" s="28" t="s">
        <v>63</v>
      </c>
      <c r="E30" s="28" t="s">
        <v>62</v>
      </c>
      <c r="F30" s="28" t="s">
        <v>32</v>
      </c>
      <c r="G30" s="3" t="s">
        <v>146</v>
      </c>
      <c r="H30" s="24" t="s">
        <v>100</v>
      </c>
      <c r="I30" s="24" t="s">
        <v>104</v>
      </c>
      <c r="J30" s="29" t="s">
        <v>2</v>
      </c>
      <c r="K30" s="28"/>
    </row>
    <row r="31" spans="2:11" ht="30.75" customHeight="1" x14ac:dyDescent="0.25">
      <c r="B31" s="51" t="s">
        <v>66</v>
      </c>
      <c r="C31" s="51"/>
      <c r="D31" s="28" t="s">
        <v>67</v>
      </c>
      <c r="E31" s="28" t="s">
        <v>68</v>
      </c>
      <c r="F31" s="28" t="s">
        <v>58</v>
      </c>
      <c r="G31" s="28" t="s">
        <v>48</v>
      </c>
      <c r="H31" s="24" t="s">
        <v>101</v>
      </c>
      <c r="I31" s="24" t="s">
        <v>104</v>
      </c>
      <c r="J31" s="29" t="s">
        <v>4</v>
      </c>
      <c r="K31" s="28"/>
    </row>
    <row r="32" spans="2:11" ht="30.75" customHeight="1" x14ac:dyDescent="0.25">
      <c r="B32" s="51" t="s">
        <v>69</v>
      </c>
      <c r="C32" s="51"/>
      <c r="D32" s="28" t="s">
        <v>70</v>
      </c>
      <c r="E32" s="28" t="s">
        <v>71</v>
      </c>
      <c r="F32" s="28" t="s">
        <v>91</v>
      </c>
      <c r="G32" s="28" t="s">
        <v>49</v>
      </c>
      <c r="H32" s="24" t="s">
        <v>100</v>
      </c>
      <c r="I32" s="24" t="s">
        <v>106</v>
      </c>
      <c r="J32" s="29" t="s">
        <v>1</v>
      </c>
      <c r="K32" s="28"/>
    </row>
    <row r="33" spans="2:11" ht="30.75" customHeight="1" x14ac:dyDescent="0.25">
      <c r="B33" s="51" t="s">
        <v>75</v>
      </c>
      <c r="C33" s="51"/>
      <c r="D33" s="28" t="s">
        <v>74</v>
      </c>
      <c r="E33" s="28" t="s">
        <v>73</v>
      </c>
      <c r="F33" s="28" t="s">
        <v>72</v>
      </c>
      <c r="G33" s="28" t="s">
        <v>48</v>
      </c>
      <c r="H33" s="24" t="s">
        <v>99</v>
      </c>
      <c r="I33" s="24" t="s">
        <v>105</v>
      </c>
      <c r="J33" s="29" t="s">
        <v>1</v>
      </c>
      <c r="K33" s="28"/>
    </row>
    <row r="34" spans="2:11" ht="19.8" customHeight="1" x14ac:dyDescent="0.25">
      <c r="B34" s="52" t="s">
        <v>77</v>
      </c>
      <c r="C34" s="53"/>
      <c r="D34" s="63" t="s">
        <v>78</v>
      </c>
      <c r="E34" s="28" t="s">
        <v>79</v>
      </c>
      <c r="F34" s="28" t="s">
        <v>24</v>
      </c>
      <c r="G34" s="28" t="s">
        <v>76</v>
      </c>
      <c r="H34" s="24" t="s">
        <v>101</v>
      </c>
      <c r="I34" s="24" t="s">
        <v>107</v>
      </c>
      <c r="J34" s="29" t="s">
        <v>4</v>
      </c>
      <c r="K34" s="28"/>
    </row>
    <row r="35" spans="2:11" ht="19.8" customHeight="1" x14ac:dyDescent="0.25">
      <c r="B35" s="54"/>
      <c r="C35" s="55"/>
      <c r="D35" s="64"/>
      <c r="E35" s="28" t="s">
        <v>80</v>
      </c>
      <c r="F35" s="28" t="s">
        <v>24</v>
      </c>
      <c r="G35" s="28" t="s">
        <v>76</v>
      </c>
      <c r="H35" s="24" t="s">
        <v>101</v>
      </c>
      <c r="I35" s="24" t="s">
        <v>108</v>
      </c>
      <c r="J35" s="29" t="s">
        <v>4</v>
      </c>
      <c r="K35" s="28"/>
    </row>
    <row r="36" spans="2:11" ht="39.6" x14ac:dyDescent="0.25">
      <c r="B36" s="51" t="s">
        <v>81</v>
      </c>
      <c r="C36" s="51"/>
      <c r="D36" s="28" t="s">
        <v>82</v>
      </c>
      <c r="E36" s="28" t="s">
        <v>83</v>
      </c>
      <c r="F36" s="28" t="s">
        <v>91</v>
      </c>
      <c r="G36" s="28" t="s">
        <v>76</v>
      </c>
      <c r="H36" s="24" t="s">
        <v>101</v>
      </c>
      <c r="I36" s="24" t="s">
        <v>106</v>
      </c>
      <c r="J36" s="29" t="s">
        <v>1</v>
      </c>
      <c r="K36" s="28"/>
    </row>
    <row r="37" spans="2:11" ht="26.4" x14ac:dyDescent="0.25">
      <c r="B37" s="51" t="s">
        <v>84</v>
      </c>
      <c r="C37" s="51"/>
      <c r="D37" s="28" t="s">
        <v>85</v>
      </c>
      <c r="E37" s="28" t="s">
        <v>86</v>
      </c>
      <c r="F37" s="28" t="s">
        <v>91</v>
      </c>
      <c r="G37" s="28" t="s">
        <v>76</v>
      </c>
      <c r="H37" s="24" t="s">
        <v>101</v>
      </c>
      <c r="I37" s="24" t="s">
        <v>109</v>
      </c>
      <c r="J37" s="29" t="s">
        <v>1</v>
      </c>
      <c r="K37" s="28"/>
    </row>
    <row r="38" spans="2:11" ht="26.4" x14ac:dyDescent="0.25">
      <c r="B38" s="51" t="s">
        <v>87</v>
      </c>
      <c r="C38" s="51"/>
      <c r="D38" s="28" t="s">
        <v>88</v>
      </c>
      <c r="E38" s="28" t="s">
        <v>89</v>
      </c>
      <c r="F38" s="28" t="s">
        <v>91</v>
      </c>
      <c r="G38" s="28" t="s">
        <v>76</v>
      </c>
      <c r="H38" s="24" t="s">
        <v>101</v>
      </c>
      <c r="I38" s="24" t="s">
        <v>109</v>
      </c>
      <c r="J38" s="29" t="s">
        <v>1</v>
      </c>
      <c r="K38" s="28"/>
    </row>
    <row r="39" spans="2:11" ht="30" customHeight="1" x14ac:dyDescent="0.25">
      <c r="B39" s="52" t="s">
        <v>111</v>
      </c>
      <c r="C39" s="53"/>
      <c r="D39" s="28" t="s">
        <v>112</v>
      </c>
      <c r="E39" s="28" t="s">
        <v>113</v>
      </c>
      <c r="F39" s="28" t="s">
        <v>91</v>
      </c>
      <c r="G39" s="28" t="s">
        <v>114</v>
      </c>
      <c r="H39" s="24" t="s">
        <v>101</v>
      </c>
      <c r="I39" s="24" t="s">
        <v>106</v>
      </c>
      <c r="J39" s="29" t="s">
        <v>1</v>
      </c>
      <c r="K39" s="28"/>
    </row>
    <row r="40" spans="2:11" ht="30" customHeight="1" x14ac:dyDescent="0.25">
      <c r="B40" s="54"/>
      <c r="C40" s="55"/>
      <c r="D40" s="28" t="s">
        <v>115</v>
      </c>
      <c r="E40" s="28" t="s">
        <v>116</v>
      </c>
      <c r="F40" s="28" t="s">
        <v>91</v>
      </c>
      <c r="G40" s="28" t="s">
        <v>114</v>
      </c>
      <c r="H40" s="24" t="s">
        <v>101</v>
      </c>
      <c r="I40" s="24" t="s">
        <v>117</v>
      </c>
      <c r="J40" s="29" t="s">
        <v>18</v>
      </c>
      <c r="K40" s="28"/>
    </row>
    <row r="41" spans="2:11" ht="30" customHeight="1" x14ac:dyDescent="0.25">
      <c r="B41" s="52" t="s">
        <v>87</v>
      </c>
      <c r="C41" s="53"/>
      <c r="D41" s="63" t="s">
        <v>118</v>
      </c>
      <c r="E41" s="28" t="s">
        <v>119</v>
      </c>
      <c r="F41" s="28" t="s">
        <v>91</v>
      </c>
      <c r="G41" s="28" t="s">
        <v>76</v>
      </c>
      <c r="H41" s="24" t="s">
        <v>101</v>
      </c>
      <c r="I41" s="24" t="s">
        <v>122</v>
      </c>
      <c r="J41" s="29" t="s">
        <v>2</v>
      </c>
      <c r="K41" s="28"/>
    </row>
    <row r="42" spans="2:11" ht="30" customHeight="1" x14ac:dyDescent="0.25">
      <c r="B42" s="65"/>
      <c r="C42" s="66"/>
      <c r="D42" s="67"/>
      <c r="E42" s="28" t="s">
        <v>120</v>
      </c>
      <c r="F42" s="28" t="s">
        <v>91</v>
      </c>
      <c r="G42" s="28" t="s">
        <v>76</v>
      </c>
      <c r="H42" s="24" t="s">
        <v>101</v>
      </c>
      <c r="I42" s="24" t="s">
        <v>122</v>
      </c>
      <c r="J42" s="29" t="s">
        <v>2</v>
      </c>
      <c r="K42" s="28"/>
    </row>
    <row r="43" spans="2:11" ht="30" customHeight="1" x14ac:dyDescent="0.25">
      <c r="B43" s="65"/>
      <c r="C43" s="66"/>
      <c r="D43" s="67"/>
      <c r="E43" s="28" t="s">
        <v>121</v>
      </c>
      <c r="F43" s="28" t="s">
        <v>91</v>
      </c>
      <c r="G43" s="28" t="s">
        <v>76</v>
      </c>
      <c r="H43" s="24" t="s">
        <v>101</v>
      </c>
      <c r="I43" s="24" t="s">
        <v>122</v>
      </c>
      <c r="J43" s="29" t="s">
        <v>2</v>
      </c>
      <c r="K43" s="28"/>
    </row>
    <row r="44" spans="2:11" ht="30" customHeight="1" x14ac:dyDescent="0.25">
      <c r="B44" s="65"/>
      <c r="C44" s="66"/>
      <c r="D44" s="67"/>
      <c r="E44" s="28" t="s">
        <v>123</v>
      </c>
      <c r="F44" s="28" t="s">
        <v>91</v>
      </c>
      <c r="G44" s="28" t="s">
        <v>76</v>
      </c>
      <c r="H44" s="24" t="s">
        <v>101</v>
      </c>
      <c r="I44" s="24" t="s">
        <v>122</v>
      </c>
      <c r="J44" s="29" t="s">
        <v>2</v>
      </c>
      <c r="K44" s="28"/>
    </row>
    <row r="45" spans="2:11" ht="30" customHeight="1" x14ac:dyDescent="0.25">
      <c r="B45" s="65"/>
      <c r="C45" s="66"/>
      <c r="D45" s="67"/>
      <c r="E45" s="28" t="s">
        <v>124</v>
      </c>
      <c r="F45" s="28" t="s">
        <v>91</v>
      </c>
      <c r="G45" s="28" t="s">
        <v>76</v>
      </c>
      <c r="H45" s="24" t="s">
        <v>101</v>
      </c>
      <c r="I45" s="24" t="s">
        <v>122</v>
      </c>
      <c r="J45" s="29" t="s">
        <v>2</v>
      </c>
      <c r="K45" s="28"/>
    </row>
    <row r="46" spans="2:11" ht="30" customHeight="1" x14ac:dyDescent="0.25">
      <c r="B46" s="54"/>
      <c r="C46" s="55"/>
      <c r="D46" s="64"/>
      <c r="E46" s="28" t="s">
        <v>125</v>
      </c>
      <c r="F46" s="28" t="s">
        <v>91</v>
      </c>
      <c r="G46" s="28" t="s">
        <v>76</v>
      </c>
      <c r="H46" s="24" t="s">
        <v>101</v>
      </c>
      <c r="I46" s="24" t="s">
        <v>122</v>
      </c>
      <c r="J46" s="29" t="s">
        <v>2</v>
      </c>
      <c r="K46" s="28"/>
    </row>
    <row r="47" spans="2:11" ht="30" customHeight="1" x14ac:dyDescent="0.25">
      <c r="B47" s="52" t="s">
        <v>87</v>
      </c>
      <c r="C47" s="53"/>
      <c r="D47" s="63" t="s">
        <v>118</v>
      </c>
      <c r="E47" s="28" t="s">
        <v>126</v>
      </c>
      <c r="F47" s="28" t="s">
        <v>91</v>
      </c>
      <c r="G47" s="28" t="s">
        <v>76</v>
      </c>
      <c r="H47" s="24" t="s">
        <v>101</v>
      </c>
      <c r="I47" s="24"/>
      <c r="J47" s="29" t="s">
        <v>0</v>
      </c>
      <c r="K47" s="28"/>
    </row>
    <row r="48" spans="2:11" ht="30" customHeight="1" x14ac:dyDescent="0.25">
      <c r="B48" s="65"/>
      <c r="C48" s="66"/>
      <c r="D48" s="67"/>
      <c r="E48" s="28" t="s">
        <v>120</v>
      </c>
      <c r="F48" s="28" t="s">
        <v>91</v>
      </c>
      <c r="G48" s="28" t="s">
        <v>76</v>
      </c>
      <c r="H48" s="24" t="s">
        <v>101</v>
      </c>
      <c r="I48" s="24"/>
      <c r="J48" s="29" t="s">
        <v>0</v>
      </c>
      <c r="K48" s="28"/>
    </row>
    <row r="49" spans="2:11" ht="30" customHeight="1" x14ac:dyDescent="0.25">
      <c r="B49" s="65"/>
      <c r="C49" s="66"/>
      <c r="D49" s="67"/>
      <c r="E49" s="28" t="s">
        <v>121</v>
      </c>
      <c r="F49" s="28" t="s">
        <v>91</v>
      </c>
      <c r="G49" s="28" t="s">
        <v>76</v>
      </c>
      <c r="H49" s="24" t="s">
        <v>101</v>
      </c>
      <c r="I49" s="24"/>
      <c r="J49" s="29" t="s">
        <v>0</v>
      </c>
      <c r="K49" s="28"/>
    </row>
    <row r="50" spans="2:11" ht="30" customHeight="1" x14ac:dyDescent="0.25">
      <c r="B50" s="65"/>
      <c r="C50" s="66"/>
      <c r="D50" s="67"/>
      <c r="E50" s="28" t="s">
        <v>123</v>
      </c>
      <c r="F50" s="28" t="s">
        <v>91</v>
      </c>
      <c r="G50" s="28" t="s">
        <v>76</v>
      </c>
      <c r="H50" s="24" t="s">
        <v>101</v>
      </c>
      <c r="I50" s="24"/>
      <c r="J50" s="29" t="s">
        <v>0</v>
      </c>
      <c r="K50" s="28"/>
    </row>
    <row r="51" spans="2:11" ht="30" customHeight="1" x14ac:dyDescent="0.25">
      <c r="B51" s="65"/>
      <c r="C51" s="66"/>
      <c r="D51" s="67"/>
      <c r="E51" s="28" t="s">
        <v>124</v>
      </c>
      <c r="F51" s="28" t="s">
        <v>91</v>
      </c>
      <c r="G51" s="28" t="s">
        <v>76</v>
      </c>
      <c r="H51" s="24" t="s">
        <v>101</v>
      </c>
      <c r="I51" s="24"/>
      <c r="J51" s="29" t="s">
        <v>0</v>
      </c>
      <c r="K51" s="28"/>
    </row>
    <row r="52" spans="2:11" ht="30" customHeight="1" x14ac:dyDescent="0.25">
      <c r="B52" s="54"/>
      <c r="C52" s="55"/>
      <c r="D52" s="64"/>
      <c r="E52" s="28" t="s">
        <v>125</v>
      </c>
      <c r="F52" s="28" t="s">
        <v>91</v>
      </c>
      <c r="G52" s="28" t="s">
        <v>76</v>
      </c>
      <c r="H52" s="24" t="s">
        <v>101</v>
      </c>
      <c r="I52" s="24"/>
      <c r="J52" s="29" t="s">
        <v>0</v>
      </c>
      <c r="K52" s="28"/>
    </row>
    <row r="53" spans="2:11" ht="30" customHeight="1" x14ac:dyDescent="0.25">
      <c r="B53" s="51" t="s">
        <v>128</v>
      </c>
      <c r="C53" s="51"/>
      <c r="D53" s="28" t="s">
        <v>129</v>
      </c>
      <c r="E53" s="28" t="s">
        <v>130</v>
      </c>
      <c r="F53" s="28" t="s">
        <v>24</v>
      </c>
      <c r="G53" s="28" t="s">
        <v>48</v>
      </c>
      <c r="H53" s="24" t="s">
        <v>100</v>
      </c>
      <c r="I53" s="24" t="s">
        <v>131</v>
      </c>
      <c r="J53" s="29" t="s">
        <v>2</v>
      </c>
      <c r="K53" s="28"/>
    </row>
    <row r="54" spans="2:11" ht="30" customHeight="1" x14ac:dyDescent="0.25">
      <c r="B54" s="51" t="s">
        <v>128</v>
      </c>
      <c r="C54" s="51"/>
      <c r="D54" s="28" t="s">
        <v>142</v>
      </c>
      <c r="E54" s="28" t="s">
        <v>150</v>
      </c>
      <c r="F54" s="28" t="s">
        <v>24</v>
      </c>
      <c r="G54" s="28" t="s">
        <v>48</v>
      </c>
      <c r="H54" s="24" t="s">
        <v>101</v>
      </c>
      <c r="I54" s="24"/>
      <c r="J54" s="29" t="s">
        <v>0</v>
      </c>
      <c r="K54" s="28"/>
    </row>
    <row r="55" spans="2:11" ht="30" customHeight="1" x14ac:dyDescent="0.25">
      <c r="B55" s="51" t="s">
        <v>141</v>
      </c>
      <c r="C55" s="51"/>
      <c r="D55" s="28" t="s">
        <v>132</v>
      </c>
      <c r="E55" s="28" t="s">
        <v>133</v>
      </c>
      <c r="F55" s="28" t="s">
        <v>32</v>
      </c>
      <c r="G55" s="28" t="s">
        <v>48</v>
      </c>
      <c r="H55" s="24" t="s">
        <v>101</v>
      </c>
      <c r="I55" s="24" t="s">
        <v>102</v>
      </c>
      <c r="J55" s="29" t="s">
        <v>4</v>
      </c>
      <c r="K55" s="28"/>
    </row>
    <row r="56" spans="2:11" ht="30" customHeight="1" x14ac:dyDescent="0.25">
      <c r="B56" s="51" t="s">
        <v>134</v>
      </c>
      <c r="C56" s="51"/>
      <c r="D56" s="28" t="s">
        <v>135</v>
      </c>
      <c r="E56" s="28" t="s">
        <v>137</v>
      </c>
      <c r="F56" s="28" t="s">
        <v>28</v>
      </c>
      <c r="G56" s="28" t="s">
        <v>48</v>
      </c>
      <c r="H56" s="24" t="s">
        <v>99</v>
      </c>
      <c r="I56" s="24" t="s">
        <v>104</v>
      </c>
      <c r="J56" s="29" t="s">
        <v>2</v>
      </c>
      <c r="K56" s="28"/>
    </row>
    <row r="57" spans="2:11" ht="30" customHeight="1" x14ac:dyDescent="0.25">
      <c r="B57" s="51" t="s">
        <v>134</v>
      </c>
      <c r="C57" s="51"/>
      <c r="D57" s="28" t="s">
        <v>135</v>
      </c>
      <c r="E57" s="28" t="s">
        <v>136</v>
      </c>
      <c r="F57" s="28" t="s">
        <v>28</v>
      </c>
      <c r="G57" s="28" t="s">
        <v>48</v>
      </c>
      <c r="H57" s="24" t="s">
        <v>99</v>
      </c>
      <c r="I57" s="24" t="s">
        <v>107</v>
      </c>
      <c r="J57" s="29" t="s">
        <v>4</v>
      </c>
      <c r="K57" s="28"/>
    </row>
    <row r="58" spans="2:11" ht="30" customHeight="1" x14ac:dyDescent="0.25">
      <c r="B58" s="51" t="s">
        <v>138</v>
      </c>
      <c r="C58" s="51"/>
      <c r="D58" s="28" t="s">
        <v>139</v>
      </c>
      <c r="E58" s="28" t="s">
        <v>140</v>
      </c>
      <c r="F58" s="28" t="s">
        <v>91</v>
      </c>
      <c r="G58" s="28" t="s">
        <v>114</v>
      </c>
      <c r="H58" s="24" t="s">
        <v>100</v>
      </c>
      <c r="I58" s="24"/>
      <c r="J58" s="29" t="s">
        <v>0</v>
      </c>
      <c r="K58" s="28"/>
    </row>
    <row r="59" spans="2:11" ht="30" customHeight="1" x14ac:dyDescent="0.25">
      <c r="B59" s="51" t="s">
        <v>143</v>
      </c>
      <c r="C59" s="51"/>
      <c r="D59" s="28" t="s">
        <v>144</v>
      </c>
      <c r="E59" s="28" t="s">
        <v>152</v>
      </c>
      <c r="F59" s="28" t="s">
        <v>91</v>
      </c>
      <c r="G59" s="28" t="s">
        <v>145</v>
      </c>
      <c r="H59" s="24" t="s">
        <v>100</v>
      </c>
      <c r="I59" s="24" t="s">
        <v>107</v>
      </c>
      <c r="J59" s="29" t="s">
        <v>2</v>
      </c>
      <c r="K59" s="28"/>
    </row>
    <row r="60" spans="2:11" ht="30" customHeight="1" x14ac:dyDescent="0.25">
      <c r="B60" s="51" t="s">
        <v>143</v>
      </c>
      <c r="C60" s="51"/>
      <c r="D60" s="28" t="s">
        <v>148</v>
      </c>
      <c r="E60" s="28" t="s">
        <v>151</v>
      </c>
      <c r="F60" s="28" t="s">
        <v>91</v>
      </c>
      <c r="G60" s="28" t="s">
        <v>145</v>
      </c>
      <c r="H60" s="24" t="s">
        <v>100</v>
      </c>
      <c r="I60" s="24" t="s">
        <v>149</v>
      </c>
      <c r="J60" s="29" t="s">
        <v>1</v>
      </c>
      <c r="K60" s="28"/>
    </row>
    <row r="61" spans="2:11" ht="30" customHeight="1" x14ac:dyDescent="0.25">
      <c r="B61" s="51" t="s">
        <v>153</v>
      </c>
      <c r="C61" s="51"/>
      <c r="D61" s="28" t="s">
        <v>154</v>
      </c>
      <c r="E61" s="28" t="s">
        <v>155</v>
      </c>
      <c r="F61" s="28" t="s">
        <v>91</v>
      </c>
      <c r="G61" s="28" t="s">
        <v>145</v>
      </c>
      <c r="H61" s="24" t="s">
        <v>100</v>
      </c>
      <c r="I61" s="24" t="s">
        <v>106</v>
      </c>
      <c r="J61" s="29" t="s">
        <v>0</v>
      </c>
      <c r="K61" s="28"/>
    </row>
    <row r="62" spans="2:11" ht="39.6" customHeight="1" x14ac:dyDescent="0.25">
      <c r="B62" s="51" t="s">
        <v>158</v>
      </c>
      <c r="C62" s="51"/>
      <c r="D62" s="28" t="s">
        <v>159</v>
      </c>
      <c r="E62" s="28" t="s">
        <v>160</v>
      </c>
      <c r="F62" s="28" t="s">
        <v>91</v>
      </c>
      <c r="G62" s="28" t="s">
        <v>49</v>
      </c>
      <c r="H62" s="24" t="s">
        <v>99</v>
      </c>
      <c r="I62" s="24" t="s">
        <v>161</v>
      </c>
      <c r="J62" s="29" t="s">
        <v>1</v>
      </c>
      <c r="K62" s="28"/>
    </row>
    <row r="63" spans="2:11" ht="30" customHeight="1" x14ac:dyDescent="0.25">
      <c r="B63" s="51" t="s">
        <v>162</v>
      </c>
      <c r="C63" s="51"/>
      <c r="D63" s="28" t="s">
        <v>163</v>
      </c>
      <c r="E63" s="28" t="s">
        <v>164</v>
      </c>
      <c r="F63" s="28" t="s">
        <v>28</v>
      </c>
      <c r="G63" s="28" t="s">
        <v>146</v>
      </c>
      <c r="H63" s="24" t="s">
        <v>99</v>
      </c>
      <c r="I63" s="24" t="s">
        <v>106</v>
      </c>
      <c r="J63" s="29" t="s">
        <v>1</v>
      </c>
      <c r="K63" s="28"/>
    </row>
    <row r="64" spans="2:11" ht="30" customHeight="1" x14ac:dyDescent="0.25">
      <c r="B64" s="51" t="s">
        <v>165</v>
      </c>
      <c r="C64" s="51"/>
      <c r="D64" s="28" t="s">
        <v>166</v>
      </c>
      <c r="E64" s="28" t="s">
        <v>167</v>
      </c>
      <c r="F64" s="28" t="s">
        <v>91</v>
      </c>
      <c r="G64" s="28" t="s">
        <v>48</v>
      </c>
      <c r="H64" s="24" t="s">
        <v>99</v>
      </c>
      <c r="I64" s="24" t="s">
        <v>168</v>
      </c>
      <c r="J64" s="29" t="s">
        <v>1</v>
      </c>
      <c r="K64" s="28"/>
    </row>
    <row r="65" spans="2:11" ht="42" customHeight="1" x14ac:dyDescent="0.25">
      <c r="B65" s="51" t="s">
        <v>169</v>
      </c>
      <c r="C65" s="51"/>
      <c r="D65" s="28" t="s">
        <v>170</v>
      </c>
      <c r="E65" s="28" t="s">
        <v>171</v>
      </c>
      <c r="F65" s="28" t="s">
        <v>91</v>
      </c>
      <c r="G65" s="28" t="s">
        <v>49</v>
      </c>
      <c r="H65" s="24" t="s">
        <v>100</v>
      </c>
      <c r="I65" s="24" t="s">
        <v>172</v>
      </c>
      <c r="J65" s="29" t="s">
        <v>1</v>
      </c>
      <c r="K65" s="28"/>
    </row>
    <row r="66" spans="2:11" ht="30" customHeight="1" x14ac:dyDescent="0.25">
      <c r="B66" s="51" t="s">
        <v>173</v>
      </c>
      <c r="C66" s="51"/>
      <c r="D66" s="28" t="s">
        <v>174</v>
      </c>
      <c r="E66" s="28" t="s">
        <v>175</v>
      </c>
      <c r="F66" s="28" t="s">
        <v>91</v>
      </c>
      <c r="G66" s="28" t="s">
        <v>49</v>
      </c>
      <c r="H66" s="24" t="s">
        <v>100</v>
      </c>
      <c r="I66" s="24" t="s">
        <v>108</v>
      </c>
      <c r="J66" s="29" t="s">
        <v>4</v>
      </c>
      <c r="K66" s="28"/>
    </row>
    <row r="67" spans="2:11" ht="30" customHeight="1" x14ac:dyDescent="0.25">
      <c r="B67" s="51" t="s">
        <v>176</v>
      </c>
      <c r="C67" s="51"/>
      <c r="D67" s="28" t="s">
        <v>177</v>
      </c>
      <c r="E67" s="28" t="s">
        <v>178</v>
      </c>
      <c r="F67" s="28" t="s">
        <v>28</v>
      </c>
      <c r="G67" s="28" t="s">
        <v>146</v>
      </c>
      <c r="H67" s="24" t="s">
        <v>99</v>
      </c>
      <c r="I67" s="24" t="s">
        <v>109</v>
      </c>
      <c r="J67" s="29" t="s">
        <v>1</v>
      </c>
      <c r="K67" s="28"/>
    </row>
    <row r="68" spans="2:11" ht="30" customHeight="1" x14ac:dyDescent="0.25">
      <c r="B68" s="51" t="s">
        <v>179</v>
      </c>
      <c r="C68" s="51"/>
      <c r="D68" s="28" t="s">
        <v>180</v>
      </c>
      <c r="E68" s="28" t="s">
        <v>181</v>
      </c>
      <c r="F68" s="28" t="s">
        <v>28</v>
      </c>
      <c r="G68" s="28" t="s">
        <v>48</v>
      </c>
      <c r="H68" s="24" t="s">
        <v>99</v>
      </c>
      <c r="I68" s="24" t="s">
        <v>182</v>
      </c>
      <c r="J68" s="29" t="s">
        <v>4</v>
      </c>
      <c r="K68" s="28"/>
    </row>
    <row r="69" spans="2:11" ht="30" customHeight="1" x14ac:dyDescent="0.25">
      <c r="B69" s="51" t="s">
        <v>183</v>
      </c>
      <c r="C69" s="51"/>
      <c r="D69" s="28" t="s">
        <v>184</v>
      </c>
      <c r="E69" s="28" t="s">
        <v>185</v>
      </c>
      <c r="F69" s="28" t="s">
        <v>28</v>
      </c>
      <c r="G69" s="28" t="s">
        <v>48</v>
      </c>
      <c r="H69" s="24" t="s">
        <v>99</v>
      </c>
      <c r="I69" s="24" t="s">
        <v>106</v>
      </c>
      <c r="J69" s="29" t="s">
        <v>0</v>
      </c>
      <c r="K69" s="28"/>
    </row>
    <row r="70" spans="2:11" ht="30" customHeight="1" x14ac:dyDescent="0.25">
      <c r="B70" s="51" t="s">
        <v>186</v>
      </c>
      <c r="C70" s="51"/>
      <c r="D70" s="28" t="s">
        <v>187</v>
      </c>
      <c r="E70" s="28" t="s">
        <v>189</v>
      </c>
      <c r="F70" s="28" t="s">
        <v>91</v>
      </c>
      <c r="G70" s="28" t="s">
        <v>49</v>
      </c>
      <c r="H70" s="24" t="s">
        <v>99</v>
      </c>
      <c r="I70" s="24" t="s">
        <v>106</v>
      </c>
      <c r="J70" s="29" t="s">
        <v>1</v>
      </c>
      <c r="K70" s="28"/>
    </row>
    <row r="71" spans="2:11" ht="42.6" customHeight="1" x14ac:dyDescent="0.25">
      <c r="B71" s="51" t="s">
        <v>186</v>
      </c>
      <c r="C71" s="51"/>
      <c r="D71" s="28" t="s">
        <v>188</v>
      </c>
      <c r="E71" s="28" t="s">
        <v>190</v>
      </c>
      <c r="F71" s="28" t="s">
        <v>91</v>
      </c>
      <c r="G71" s="28" t="s">
        <v>76</v>
      </c>
      <c r="H71" s="24" t="s">
        <v>99</v>
      </c>
      <c r="I71" s="24" t="s">
        <v>106</v>
      </c>
      <c r="J71" s="29" t="s">
        <v>1</v>
      </c>
      <c r="K71" s="28"/>
    </row>
    <row r="72" spans="2:11" ht="30" customHeight="1" x14ac:dyDescent="0.25">
      <c r="B72" s="51" t="s">
        <v>191</v>
      </c>
      <c r="C72" s="51"/>
      <c r="D72" s="28" t="s">
        <v>192</v>
      </c>
      <c r="E72" s="28" t="s">
        <v>193</v>
      </c>
      <c r="F72" s="28" t="s">
        <v>91</v>
      </c>
      <c r="G72" s="28" t="s">
        <v>49</v>
      </c>
      <c r="H72" s="24" t="s">
        <v>99</v>
      </c>
      <c r="I72" s="24" t="s">
        <v>108</v>
      </c>
      <c r="J72" s="29" t="s">
        <v>4</v>
      </c>
      <c r="K72" s="28"/>
    </row>
    <row r="73" spans="2:11" ht="30" customHeight="1" x14ac:dyDescent="0.25">
      <c r="B73" s="51" t="s">
        <v>194</v>
      </c>
      <c r="C73" s="51"/>
      <c r="D73" s="28" t="s">
        <v>195</v>
      </c>
      <c r="E73" s="28" t="s">
        <v>196</v>
      </c>
      <c r="F73" s="28" t="s">
        <v>91</v>
      </c>
      <c r="G73" s="28" t="s">
        <v>76</v>
      </c>
      <c r="H73" s="24" t="s">
        <v>100</v>
      </c>
      <c r="I73" s="24" t="s">
        <v>106</v>
      </c>
      <c r="J73" s="29" t="s">
        <v>1</v>
      </c>
      <c r="K73" s="28"/>
    </row>
    <row r="74" spans="2:11" ht="30" customHeight="1" x14ac:dyDescent="0.25">
      <c r="B74" s="51" t="s">
        <v>197</v>
      </c>
      <c r="C74" s="51"/>
      <c r="D74" s="28" t="s">
        <v>198</v>
      </c>
      <c r="E74" s="28" t="s">
        <v>199</v>
      </c>
      <c r="F74" s="28" t="s">
        <v>32</v>
      </c>
      <c r="G74" s="28" t="s">
        <v>76</v>
      </c>
      <c r="H74" s="24" t="s">
        <v>100</v>
      </c>
      <c r="I74" s="24" t="s">
        <v>106</v>
      </c>
      <c r="J74" s="29" t="s">
        <v>1</v>
      </c>
      <c r="K74" s="28"/>
    </row>
    <row r="75" spans="2:11" ht="30" customHeight="1" x14ac:dyDescent="0.25">
      <c r="B75" s="51" t="s">
        <v>200</v>
      </c>
      <c r="C75" s="51"/>
      <c r="D75" s="28" t="s">
        <v>201</v>
      </c>
      <c r="E75" s="28" t="s">
        <v>202</v>
      </c>
      <c r="F75" s="28" t="s">
        <v>91</v>
      </c>
      <c r="G75" s="28" t="s">
        <v>49</v>
      </c>
      <c r="H75" s="24" t="s">
        <v>100</v>
      </c>
      <c r="I75" s="24" t="s">
        <v>106</v>
      </c>
      <c r="J75" s="29" t="s">
        <v>1</v>
      </c>
      <c r="K75" s="28"/>
    </row>
    <row r="76" spans="2:11" ht="30" customHeight="1" x14ac:dyDescent="0.25">
      <c r="B76" s="51" t="s">
        <v>203</v>
      </c>
      <c r="C76" s="51"/>
      <c r="D76" s="28" t="s">
        <v>204</v>
      </c>
      <c r="E76" s="28" t="s">
        <v>205</v>
      </c>
      <c r="F76" s="28" t="s">
        <v>91</v>
      </c>
      <c r="G76" s="28" t="s">
        <v>76</v>
      </c>
      <c r="H76" s="24" t="s">
        <v>100</v>
      </c>
      <c r="I76" s="24" t="s">
        <v>109</v>
      </c>
      <c r="J76" s="29" t="s">
        <v>1</v>
      </c>
      <c r="K76" s="28"/>
    </row>
    <row r="77" spans="2:11" ht="30" customHeight="1" x14ac:dyDescent="0.25">
      <c r="B77" s="51" t="s">
        <v>206</v>
      </c>
      <c r="C77" s="51"/>
      <c r="D77" s="28" t="s">
        <v>207</v>
      </c>
      <c r="E77" s="28" t="s">
        <v>208</v>
      </c>
      <c r="F77" s="28" t="s">
        <v>91</v>
      </c>
      <c r="G77" s="28" t="s">
        <v>49</v>
      </c>
      <c r="H77" s="24" t="s">
        <v>100</v>
      </c>
      <c r="I77" s="24" t="s">
        <v>209</v>
      </c>
      <c r="J77" s="29" t="s">
        <v>1</v>
      </c>
      <c r="K77" s="28"/>
    </row>
    <row r="78" spans="2:11" ht="30" customHeight="1" x14ac:dyDescent="0.25">
      <c r="B78" s="51"/>
      <c r="C78" s="51"/>
      <c r="D78" s="28"/>
      <c r="E78" s="28"/>
      <c r="F78" s="28"/>
      <c r="G78" s="28"/>
      <c r="H78" s="24"/>
      <c r="I78" s="24"/>
      <c r="J78" s="29"/>
      <c r="K78" s="28"/>
    </row>
    <row r="79" spans="2:11" ht="30" customHeight="1" x14ac:dyDescent="0.25">
      <c r="B79" s="51"/>
      <c r="C79" s="51"/>
      <c r="D79" s="28"/>
      <c r="E79" s="28"/>
      <c r="F79" s="28"/>
      <c r="G79" s="28"/>
      <c r="H79" s="24"/>
      <c r="I79" s="24"/>
      <c r="J79" s="29"/>
      <c r="K79" s="28"/>
    </row>
    <row r="80" spans="2:11" ht="30" customHeight="1" x14ac:dyDescent="0.25">
      <c r="B80" s="51"/>
      <c r="C80" s="51"/>
      <c r="D80" s="28"/>
      <c r="E80" s="28"/>
      <c r="F80" s="28"/>
      <c r="G80" s="28"/>
      <c r="H80" s="24"/>
      <c r="I80" s="24"/>
      <c r="J80" s="29"/>
      <c r="K80" s="28"/>
    </row>
    <row r="81" spans="2:11" ht="30" customHeight="1" x14ac:dyDescent="0.25">
      <c r="B81" s="51"/>
      <c r="C81" s="51"/>
      <c r="D81" s="28"/>
      <c r="E81" s="28"/>
      <c r="F81" s="28"/>
      <c r="G81" s="28"/>
      <c r="H81" s="24"/>
      <c r="I81" s="24"/>
      <c r="J81" s="29"/>
      <c r="K81" s="28"/>
    </row>
    <row r="82" spans="2:11" ht="30" customHeight="1" x14ac:dyDescent="0.25">
      <c r="B82" s="51"/>
      <c r="C82" s="51"/>
      <c r="D82" s="28"/>
      <c r="E82" s="28"/>
      <c r="F82" s="28"/>
      <c r="G82" s="28"/>
      <c r="H82" s="24"/>
      <c r="I82" s="24"/>
      <c r="J82" s="29"/>
      <c r="K82" s="28"/>
    </row>
    <row r="83" spans="2:11" ht="30" customHeight="1" x14ac:dyDescent="0.25">
      <c r="B83" s="51"/>
      <c r="C83" s="51"/>
      <c r="D83" s="28"/>
      <c r="E83" s="28"/>
      <c r="F83" s="28"/>
      <c r="G83" s="28"/>
      <c r="H83" s="24"/>
      <c r="I83" s="24"/>
      <c r="J83" s="29"/>
      <c r="K83" s="28"/>
    </row>
    <row r="84" spans="2:11" ht="30" customHeight="1" x14ac:dyDescent="0.25">
      <c r="B84" s="51"/>
      <c r="C84" s="51"/>
      <c r="D84" s="28"/>
      <c r="E84" s="28"/>
      <c r="F84" s="28"/>
      <c r="G84" s="28"/>
      <c r="H84" s="24"/>
      <c r="I84" s="24"/>
      <c r="J84" s="29"/>
      <c r="K84" s="28"/>
    </row>
    <row r="85" spans="2:11" ht="30" customHeight="1" x14ac:dyDescent="0.25">
      <c r="B85" s="51"/>
      <c r="C85" s="51"/>
      <c r="D85" s="28"/>
      <c r="E85" s="28"/>
      <c r="F85" s="28"/>
      <c r="G85" s="28"/>
      <c r="H85" s="24"/>
      <c r="I85" s="24"/>
      <c r="J85" s="29"/>
      <c r="K85" s="28"/>
    </row>
    <row r="86" spans="2:11" ht="30" customHeight="1" x14ac:dyDescent="0.25">
      <c r="B86" s="51"/>
      <c r="C86" s="51"/>
      <c r="D86" s="28"/>
      <c r="E86" s="28"/>
      <c r="F86" s="28"/>
      <c r="G86" s="28"/>
      <c r="H86" s="24"/>
      <c r="I86" s="24"/>
      <c r="J86" s="29"/>
      <c r="K86" s="28"/>
    </row>
    <row r="87" spans="2:11" ht="30" customHeight="1" x14ac:dyDescent="0.25">
      <c r="B87" s="51"/>
      <c r="C87" s="51"/>
      <c r="D87" s="28"/>
      <c r="E87" s="28"/>
      <c r="F87" s="28"/>
      <c r="G87" s="28"/>
      <c r="H87" s="24"/>
      <c r="I87" s="24"/>
      <c r="J87" s="29"/>
      <c r="K87" s="28"/>
    </row>
    <row r="88" spans="2:11" ht="30" customHeight="1" x14ac:dyDescent="0.25">
      <c r="B88" s="51"/>
      <c r="C88" s="51"/>
      <c r="D88" s="28"/>
      <c r="E88" s="28"/>
      <c r="F88" s="28"/>
      <c r="G88" s="28"/>
      <c r="H88" s="24"/>
      <c r="I88" s="24"/>
      <c r="J88" s="29"/>
      <c r="K88" s="28"/>
    </row>
    <row r="89" spans="2:11" ht="30" customHeight="1" x14ac:dyDescent="0.25">
      <c r="B89" s="51"/>
      <c r="C89" s="51"/>
      <c r="D89" s="28"/>
      <c r="E89" s="28"/>
      <c r="F89" s="28"/>
      <c r="G89" s="28"/>
      <c r="H89" s="24"/>
      <c r="I89" s="24"/>
      <c r="J89" s="29"/>
      <c r="K89" s="28"/>
    </row>
    <row r="90" spans="2:11" ht="30" customHeight="1" x14ac:dyDescent="0.25">
      <c r="B90" s="51"/>
      <c r="C90" s="51"/>
      <c r="D90" s="28"/>
      <c r="E90" s="28"/>
      <c r="F90" s="28"/>
      <c r="G90" s="28"/>
      <c r="H90" s="24"/>
      <c r="I90" s="24"/>
      <c r="J90" s="29"/>
      <c r="K90" s="28"/>
    </row>
    <row r="91" spans="2:11" ht="30" customHeight="1" x14ac:dyDescent="0.25">
      <c r="B91" s="51"/>
      <c r="C91" s="51"/>
      <c r="D91" s="28"/>
      <c r="E91" s="28"/>
      <c r="F91" s="28"/>
      <c r="G91" s="28"/>
      <c r="H91" s="24"/>
      <c r="I91" s="24"/>
      <c r="J91" s="29"/>
      <c r="K91" s="28"/>
    </row>
    <row r="92" spans="2:11" ht="30" customHeight="1" x14ac:dyDescent="0.25">
      <c r="B92" s="51"/>
      <c r="C92" s="51"/>
      <c r="D92" s="28"/>
      <c r="E92" s="28"/>
      <c r="F92" s="28"/>
      <c r="G92" s="28"/>
      <c r="H92" s="24"/>
      <c r="I92" s="24"/>
      <c r="J92" s="29"/>
      <c r="K92" s="28"/>
    </row>
    <row r="93" spans="2:11" x14ac:dyDescent="0.25">
      <c r="J93" s="29"/>
    </row>
    <row r="94" spans="2:11" x14ac:dyDescent="0.25">
      <c r="J94" s="29"/>
    </row>
    <row r="95" spans="2:11" x14ac:dyDescent="0.25">
      <c r="J95" s="29"/>
    </row>
    <row r="96" spans="2:11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  <row r="1961" spans="10:10" x14ac:dyDescent="0.25">
      <c r="J1961" s="29"/>
    </row>
  </sheetData>
  <sheetProtection selectLockedCells="1" selectUnlockedCells="1"/>
  <autoFilter ref="B12:K61" xr:uid="{00000000-0001-0000-0000-000000000000}">
    <filterColumn colId="0" showButton="0"/>
  </autoFilter>
  <mergeCells count="73"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D41:D46"/>
    <mergeCell ref="B41:C46"/>
    <mergeCell ref="D47:D52"/>
    <mergeCell ref="B55:C55"/>
    <mergeCell ref="B56:C56"/>
    <mergeCell ref="D34:D35"/>
    <mergeCell ref="B37:C37"/>
    <mergeCell ref="B38:C38"/>
    <mergeCell ref="B14:C14"/>
    <mergeCell ref="B13:C13"/>
    <mergeCell ref="B30:C30"/>
    <mergeCell ref="B36:C36"/>
    <mergeCell ref="B34:C35"/>
    <mergeCell ref="B29:C29"/>
    <mergeCell ref="B15:C18"/>
    <mergeCell ref="B23:C23"/>
    <mergeCell ref="D24:D25"/>
    <mergeCell ref="D26:D28"/>
    <mergeCell ref="B26:C28"/>
    <mergeCell ref="B24:C25"/>
    <mergeCell ref="D15:D17"/>
    <mergeCell ref="B20:C21"/>
    <mergeCell ref="B22:C22"/>
    <mergeCell ref="B19:C19"/>
    <mergeCell ref="D1:J1"/>
    <mergeCell ref="B12:C12"/>
    <mergeCell ref="B3:B4"/>
    <mergeCell ref="C3:C4"/>
    <mergeCell ref="B7:B8"/>
    <mergeCell ref="C7:C8"/>
    <mergeCell ref="B31:C31"/>
    <mergeCell ref="B32:C32"/>
    <mergeCell ref="B33:C33"/>
    <mergeCell ref="B54:C54"/>
    <mergeCell ref="B75:C75"/>
    <mergeCell ref="B53:C53"/>
    <mergeCell ref="B47:C52"/>
    <mergeCell ref="B39:C40"/>
    <mergeCell ref="B57:C57"/>
    <mergeCell ref="B58:C58"/>
    <mergeCell ref="B59:C59"/>
    <mergeCell ref="B60:C60"/>
    <mergeCell ref="B61:C61"/>
    <mergeCell ref="B62:C62"/>
    <mergeCell ref="B63:C63"/>
    <mergeCell ref="B64:C64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91:C91"/>
    <mergeCell ref="B92:C92"/>
    <mergeCell ref="B86:C86"/>
    <mergeCell ref="B87:C87"/>
    <mergeCell ref="B88:C88"/>
    <mergeCell ref="B89:C89"/>
    <mergeCell ref="B90:C90"/>
  </mergeCells>
  <phoneticPr fontId="11" type="noConversion"/>
  <conditionalFormatting sqref="J13:J1961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1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93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2019-07-25T09:00:33Z</cp:lastPrinted>
  <dcterms:created xsi:type="dcterms:W3CDTF">2008-05-12T15:18:33Z</dcterms:created>
  <dcterms:modified xsi:type="dcterms:W3CDTF">2026-03-13T16:47:57Z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